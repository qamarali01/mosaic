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</sheets>
  <definedNames/>
  <calcPr/>
</workbook>
</file>

<file path=xl/sharedStrings.xml><?xml version="1.0" encoding="utf-8"?>
<sst xmlns="http://schemas.openxmlformats.org/spreadsheetml/2006/main" count="81" uniqueCount="71">
  <si>
    <t xml:space="preserve">                          PACKING LIST</t>
  </si>
  <si>
    <t>Invoice No : 30</t>
  </si>
  <si>
    <t>Date:  08/09/2026</t>
  </si>
  <si>
    <t>Exporter I.E.C. No. AKIPA5751E</t>
  </si>
  <si>
    <t>Buyer's P. O   no.  :  2327           GST No. 07AKIPA5751E1ZG</t>
  </si>
  <si>
    <t>Exporter</t>
  </si>
  <si>
    <t>Jaffar Ali and Son</t>
  </si>
  <si>
    <t>REX No. : INREXAKIPA5751EEC028</t>
  </si>
  <si>
    <t>2818 Gali Garaya, Kucha Chellan, Darya Ganj,</t>
  </si>
  <si>
    <t>Delhi-110002, INDIA</t>
  </si>
  <si>
    <t>A.D code of the bank branch is : 05102364500008</t>
  </si>
  <si>
    <t>Mobile +91-9810261755, +91-7889395623</t>
  </si>
  <si>
    <t>Buyer ( If any other than consignee ) : NA</t>
  </si>
  <si>
    <t>Office : +91-011-23283661</t>
  </si>
  <si>
    <t>Email:mukhtarcrafts@yahoo.com</t>
  </si>
  <si>
    <t>TO:</t>
  </si>
  <si>
    <t>Best Roadways Limited</t>
  </si>
  <si>
    <t>D 35 Okhla industrial area Phase I Near prime tower</t>
  </si>
  <si>
    <t xml:space="preserve">New Delhi 110020 </t>
  </si>
  <si>
    <t>Shipping Agent:</t>
  </si>
  <si>
    <t>A/c
Kangra Global Logistics Pvt Ltd For JWR Navi Mumbai</t>
  </si>
  <si>
    <t>Mob: 9810536240</t>
  </si>
  <si>
    <t>‭011-27354442, 27354443‬</t>
  </si>
  <si>
    <t>email: accounts @kangraglobal.com</t>
  </si>
  <si>
    <t>Country of Origin of Goods: India</t>
  </si>
  <si>
    <t>Country of Final Destination: UK</t>
  </si>
  <si>
    <t>CONSIGNEE</t>
  </si>
  <si>
    <t>Shared Earth UK Ltd</t>
  </si>
  <si>
    <t>1 Minster Gates</t>
  </si>
  <si>
    <t>York</t>
  </si>
  <si>
    <t>YO1 7HL</t>
  </si>
  <si>
    <t>Place of Receipt by Pre-Carrier:  DELHI</t>
  </si>
  <si>
    <t xml:space="preserve">Vessel/ Flight No. :         </t>
  </si>
  <si>
    <t>Port of loading : Delhi, India</t>
  </si>
  <si>
    <t>Port of Discharge:</t>
  </si>
  <si>
    <t>Final Destination:  York, UK</t>
  </si>
  <si>
    <t>Paper machie (Handicraft items )</t>
  </si>
  <si>
    <t>Caton No.</t>
  </si>
  <si>
    <t xml:space="preserve"> Carton Qnty (pcs)</t>
  </si>
  <si>
    <t>Item Code</t>
  </si>
  <si>
    <t>Net weight ( Kg )</t>
  </si>
  <si>
    <t xml:space="preserve">Gross weight ( kg ) </t>
  </si>
  <si>
    <t>Master Carton size</t>
  </si>
  <si>
    <t>ASH2432</t>
  </si>
  <si>
    <t>22" x 16" x 20.5"</t>
  </si>
  <si>
    <t>PM036</t>
  </si>
  <si>
    <t>PM005</t>
  </si>
  <si>
    <t>ASH2431</t>
  </si>
  <si>
    <t>ASH2307</t>
  </si>
  <si>
    <t>PM034</t>
  </si>
  <si>
    <t>PM006</t>
  </si>
  <si>
    <t>22" x 13" x 20.5"</t>
  </si>
  <si>
    <t>ASH2430</t>
  </si>
  <si>
    <t>PM018</t>
  </si>
  <si>
    <t>PM031</t>
  </si>
  <si>
    <t>PM037</t>
  </si>
  <si>
    <t>PM024</t>
  </si>
  <si>
    <t>PM001</t>
  </si>
  <si>
    <t>ASH2433</t>
  </si>
  <si>
    <t>PM002</t>
  </si>
  <si>
    <t>PM030</t>
  </si>
  <si>
    <t>PM035</t>
  </si>
  <si>
    <t>PM015SET</t>
  </si>
  <si>
    <t xml:space="preserve">TOTAL QUANTITY (Pcs):  </t>
  </si>
  <si>
    <t xml:space="preserve">NET WEIGHT (Kg): </t>
  </si>
  <si>
    <t xml:space="preserve">GROSS WEIGHT (Kg): </t>
  </si>
  <si>
    <t>Declaration:</t>
  </si>
  <si>
    <t>We declare that the invoice shows the actual price of the goods</t>
  </si>
  <si>
    <t>described and that all particulars are true and correct</t>
  </si>
  <si>
    <t>No child labour used</t>
  </si>
  <si>
    <t>All the Prices are FOB Delhi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</si>
</sst>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8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theme="1"/>
      <name val="Arial"/>
    </font>
    <font/>
    <font>
      <sz val="18.0"/>
      <color theme="1"/>
      <name val="Arial"/>
    </font>
    <font>
      <sz val="16.0"/>
      <color theme="1"/>
      <name val="Arial"/>
    </font>
    <font>
      <sz val="16.0"/>
      <color theme="1"/>
      <name val="Calibri"/>
    </font>
    <font>
      <sz val="10.0"/>
      <color theme="1"/>
      <name val="Times New Roman"/>
    </font>
    <font>
      <sz val="18.0"/>
      <color rgb="FF000000"/>
      <name val="Arial"/>
    </font>
    <font>
      <b/>
      <sz val="19.0"/>
      <color theme="1"/>
      <name val="Calibri"/>
    </font>
    <font>
      <sz val="19.0"/>
      <color theme="1"/>
      <name val="Calibri"/>
    </font>
    <font>
      <b/>
      <sz val="11.0"/>
      <color theme="1"/>
      <name val="Calibri"/>
    </font>
    <font>
      <sz val="18.0"/>
      <color theme="1"/>
      <name val="Cambria"/>
    </font>
    <font>
      <sz val="11.0"/>
      <color theme="1"/>
      <name val="Cambria"/>
    </font>
    <font>
      <b/>
      <sz val="18.0"/>
      <color theme="1"/>
      <name val="Cambria"/>
    </font>
    <font>
      <sz val="15.0"/>
      <color theme="1"/>
      <name val="Calibri"/>
    </font>
    <font>
      <sz val="14.0"/>
      <color theme="1"/>
      <name val="Calibri"/>
    </font>
    <font>
      <b/>
      <sz val="15.0"/>
      <color theme="1"/>
      <name val="Calibri"/>
    </font>
  </fonts>
  <fills count="2">
    <fill>
      <patternFill patternType="none"/>
    </fill>
    <fill>
      <patternFill patternType="lightGray"/>
    </fill>
  </fills>
  <borders count="3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medium">
        <color theme="1"/>
      </top>
    </border>
    <border>
      <right style="medium">
        <color theme="1"/>
      </right>
      <top style="medium">
        <color theme="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medium">
        <color theme="1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right style="thin">
        <color theme="1"/>
      </right>
    </border>
    <border>
      <left style="thin">
        <color rgb="FF000000"/>
      </left>
      <right style="thin">
        <color theme="1"/>
      </right>
    </border>
    <border>
      <right style="thin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bottom style="medium">
        <color theme="1"/>
      </bottom>
    </border>
    <border>
      <right style="medium">
        <color theme="1"/>
      </right>
      <bottom style="medium">
        <color theme="1"/>
      </bottom>
    </border>
  </borders>
  <cellStyleXfs count="1">
    <xf borderId="0" fillId="0" fontId="0" numFmtId="0" applyAlignment="1" applyFont="1"/>
  </cellStyleXfs>
  <cellXfs count="1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shrinkToFit="0" vertical="center" wrapText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horizontal="left" shrinkToFit="0" vertical="center" wrapText="0"/>
    </xf>
    <xf borderId="7" fillId="0" fontId="4" numFmtId="0" xfId="0" applyAlignment="1" applyBorder="1" applyFont="1">
      <alignment horizontal="left" shrinkToFit="0" vertical="center" wrapText="0"/>
    </xf>
    <xf borderId="6" fillId="0" fontId="4" numFmtId="0" xfId="0" applyAlignment="1" applyBorder="1" applyFont="1">
      <alignment horizontal="left" readingOrder="0" shrinkToFit="0" vertical="center" wrapText="0"/>
    </xf>
    <xf borderId="6" fillId="0" fontId="2" numFmtId="0" xfId="0" applyAlignment="1" applyBorder="1" applyFont="1">
      <alignment horizontal="left" shrinkToFit="0" vertical="center" wrapText="0"/>
    </xf>
    <xf borderId="0" fillId="0" fontId="5" numFmtId="0" xfId="0" applyAlignment="1" applyFont="1">
      <alignment shrinkToFit="0" vertical="bottom" wrapText="0"/>
    </xf>
    <xf borderId="8" fillId="0" fontId="5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9" fillId="0" fontId="2" numFmtId="0" xfId="0" applyAlignment="1" applyBorder="1" applyFont="1">
      <alignment horizontal="left" shrinkToFit="0" vertical="center" wrapText="0"/>
    </xf>
    <xf borderId="10" fillId="0" fontId="4" numFmtId="0" xfId="0" applyAlignment="1" applyBorder="1" applyFont="1">
      <alignment horizontal="left" shrinkToFit="0" vertical="center" wrapText="0"/>
    </xf>
    <xf borderId="7" fillId="0" fontId="2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left" readingOrder="0" shrinkToFit="0" vertical="center" wrapText="0"/>
    </xf>
    <xf borderId="11" fillId="0" fontId="3" numFmtId="0" xfId="0" applyBorder="1" applyFont="1"/>
    <xf borderId="10" fillId="0" fontId="3" numFmtId="0" xfId="0" applyBorder="1" applyFont="1"/>
    <xf borderId="8" fillId="0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shrinkToFit="0" vertical="bottom" wrapText="0"/>
    </xf>
    <xf borderId="13" fillId="0" fontId="1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14" fillId="0" fontId="2" numFmtId="0" xfId="0" applyAlignment="1" applyBorder="1" applyFont="1">
      <alignment horizontal="left" shrinkToFit="0" vertical="center" wrapText="0"/>
    </xf>
    <xf borderId="15" fillId="0" fontId="2" numFmtId="0" xfId="0" applyAlignment="1" applyBorder="1" applyFont="1">
      <alignment horizontal="left" shrinkToFit="0" vertical="center" wrapText="0"/>
    </xf>
    <xf borderId="15" fillId="0" fontId="4" numFmtId="0" xfId="0" applyAlignment="1" applyBorder="1" applyFont="1">
      <alignment horizontal="left" shrinkToFit="0" vertical="center" wrapText="0"/>
    </xf>
    <xf borderId="16" fillId="0" fontId="4" numFmtId="0" xfId="0" applyAlignment="1" applyBorder="1" applyFont="1">
      <alignment horizontal="left" shrinkToFit="0" vertical="center" wrapText="0"/>
    </xf>
    <xf borderId="17" fillId="0" fontId="3" numFmtId="0" xfId="0" applyBorder="1" applyFont="1"/>
    <xf borderId="12" fillId="0" fontId="3" numFmtId="0" xfId="0" applyBorder="1" applyFont="1"/>
    <xf borderId="18" fillId="0" fontId="3" numFmtId="0" xfId="0" applyBorder="1" applyFont="1"/>
    <xf borderId="19" fillId="0" fontId="2" numFmtId="0" xfId="0" applyAlignment="1" applyBorder="1" applyFont="1">
      <alignment horizontal="left" shrinkToFit="0" vertical="center" wrapText="0"/>
    </xf>
    <xf borderId="20" fillId="0" fontId="3" numFmtId="0" xfId="0" applyBorder="1" applyFont="1"/>
    <xf borderId="11" fillId="0" fontId="2" numFmtId="0" xfId="0" applyAlignment="1" applyBorder="1" applyFont="1">
      <alignment horizontal="left" shrinkToFit="0" vertical="center" wrapText="0"/>
    </xf>
    <xf borderId="8" fillId="0" fontId="7" numFmtId="0" xfId="0" applyAlignment="1" applyBorder="1" applyFont="1">
      <alignment horizontal="right" shrinkToFit="0" vertical="bottom" wrapText="0"/>
    </xf>
    <xf borderId="19" fillId="0" fontId="8" numFmtId="0" xfId="0" applyAlignment="1" applyBorder="1" applyFont="1">
      <alignment readingOrder="0" shrinkToFit="0" vertical="center" wrapText="0"/>
    </xf>
    <xf borderId="0" fillId="0" fontId="8" numFmtId="0" xfId="0" applyAlignment="1" applyFont="1">
      <alignment shrinkToFit="0" vertical="center" wrapText="0"/>
    </xf>
    <xf borderId="20" fillId="0" fontId="8" numFmtId="0" xfId="0" applyAlignment="1" applyBorder="1" applyFont="1">
      <alignment shrinkToFit="0" vertical="center" wrapText="0"/>
    </xf>
    <xf borderId="2" fillId="0" fontId="2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bottom" wrapText="0"/>
    </xf>
    <xf borderId="19" fillId="0" fontId="4" numFmtId="0" xfId="0" applyAlignment="1" applyBorder="1" applyFont="1">
      <alignment horizontal="left" readingOrder="0" shrinkToFit="0" vertical="center" wrapText="0"/>
    </xf>
    <xf borderId="0" fillId="0" fontId="4" numFmtId="0" xfId="0" applyAlignment="1" applyFont="1">
      <alignment horizontal="left" shrinkToFit="0" vertical="center" wrapText="0"/>
    </xf>
    <xf borderId="20" fillId="0" fontId="4" numFmtId="0" xfId="0" applyAlignment="1" applyBorder="1" applyFont="1">
      <alignment horizontal="left" shrinkToFit="0" vertical="center" wrapText="0"/>
    </xf>
    <xf borderId="11" fillId="0" fontId="4" numFmtId="0" xfId="0" applyAlignment="1" applyBorder="1" applyFont="1">
      <alignment horizontal="center" shrinkToFit="0" vertical="center" wrapText="0"/>
    </xf>
    <xf borderId="22" fillId="0" fontId="1" numFmtId="0" xfId="0" applyAlignment="1" applyBorder="1" applyFont="1">
      <alignment shrinkToFit="0" vertical="bottom" wrapText="0"/>
    </xf>
    <xf borderId="23" fillId="0" fontId="3" numFmtId="0" xfId="0" applyBorder="1" applyFont="1"/>
    <xf borderId="24" fillId="0" fontId="4" numFmtId="0" xfId="0" applyAlignment="1" applyBorder="1" applyFont="1">
      <alignment horizontal="left" readingOrder="0" shrinkToFit="0" vertical="center" wrapText="0"/>
    </xf>
    <xf borderId="25" fillId="0" fontId="4" numFmtId="0" xfId="0" applyAlignment="1" applyBorder="1" applyFont="1">
      <alignment horizontal="left" shrinkToFit="0" vertical="center" wrapText="0"/>
    </xf>
    <xf borderId="26" fillId="0" fontId="4" numFmtId="0" xfId="0" applyAlignment="1" applyBorder="1" applyFont="1">
      <alignment horizontal="left" shrinkToFit="0" vertical="center" wrapText="0"/>
    </xf>
    <xf borderId="13" fillId="0" fontId="9" numFmtId="0" xfId="0" applyBorder="1" applyFont="1"/>
    <xf borderId="0" fillId="0" fontId="9" numFmtId="0" xfId="0" applyFont="1"/>
    <xf borderId="0" fillId="0" fontId="10" numFmtId="0" xfId="0" applyFont="1"/>
    <xf borderId="0" fillId="0" fontId="9" numFmtId="0" xfId="0" applyAlignment="1" applyFont="1">
      <alignment vertical="bottom"/>
    </xf>
    <xf borderId="0" fillId="0" fontId="9" numFmtId="0" xfId="0" applyAlignment="1" applyFont="1">
      <alignment vertical="top"/>
    </xf>
    <xf borderId="0" fillId="0" fontId="1" numFmtId="0" xfId="0" applyAlignment="1" applyFont="1">
      <alignment shrinkToFit="0" vertical="center" wrapText="0"/>
    </xf>
    <xf borderId="8" fillId="0" fontId="1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left" shrinkToFit="0" vertical="center" wrapText="0"/>
    </xf>
    <xf borderId="0" fillId="0" fontId="10" numFmtId="0" xfId="0" applyAlignment="1" applyFont="1">
      <alignment horizontal="left" readingOrder="0"/>
    </xf>
    <xf borderId="14" fillId="0" fontId="4" numFmtId="0" xfId="0" applyAlignment="1" applyBorder="1" applyFont="1">
      <alignment horizontal="left" shrinkToFit="0" vertical="center" wrapText="0"/>
    </xf>
    <xf borderId="16" fillId="0" fontId="3" numFmtId="0" xfId="0" applyBorder="1" applyFont="1"/>
    <xf borderId="24" fillId="0" fontId="2" numFmtId="0" xfId="0" applyAlignment="1" applyBorder="1" applyFont="1">
      <alignment horizontal="left" shrinkToFit="0" vertical="center" wrapText="0"/>
    </xf>
    <xf borderId="25" fillId="0" fontId="3" numFmtId="0" xfId="0" applyBorder="1" applyFont="1"/>
    <xf borderId="26" fillId="0" fontId="3" numFmtId="0" xfId="0" applyBorder="1" applyFont="1"/>
    <xf borderId="19" fillId="0" fontId="3" numFmtId="0" xfId="0" applyBorder="1" applyFont="1"/>
    <xf borderId="24" fillId="0" fontId="3" numFmtId="0" xfId="0" applyBorder="1" applyFont="1"/>
    <xf borderId="19" fillId="0" fontId="2" numFmtId="0" xfId="0" applyAlignment="1" applyBorder="1" applyFont="1">
      <alignment shrinkToFit="0" vertical="center" wrapText="0"/>
    </xf>
    <xf borderId="0" fillId="0" fontId="4" numFmtId="0" xfId="0" applyAlignment="1" applyFont="1">
      <alignment shrinkToFit="0" vertical="center" wrapText="0"/>
    </xf>
    <xf borderId="20" fillId="0" fontId="4" numFmtId="0" xfId="0" applyAlignment="1" applyBorder="1" applyFont="1">
      <alignment shrinkToFit="0" vertical="center" wrapText="0"/>
    </xf>
    <xf borderId="18" fillId="0" fontId="4" numFmtId="0" xfId="0" applyAlignment="1" applyBorder="1" applyFont="1">
      <alignment shrinkToFit="0" vertical="center" wrapText="0"/>
    </xf>
    <xf borderId="27" fillId="0" fontId="4" numFmtId="0" xfId="0" applyAlignment="1" applyBorder="1" applyFont="1">
      <alignment horizontal="left" shrinkToFit="0" vertical="center" wrapText="0"/>
    </xf>
    <xf borderId="0" fillId="0" fontId="11" numFmtId="0" xfId="0" applyAlignment="1" applyFont="1">
      <alignment shrinkToFit="0" vertical="bottom" wrapText="0"/>
    </xf>
    <xf borderId="19" fillId="0" fontId="4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horizontal="left" shrinkToFit="0" vertical="center" wrapText="0"/>
    </xf>
    <xf borderId="8" fillId="0" fontId="3" numFmtId="0" xfId="0" applyBorder="1" applyFont="1"/>
    <xf borderId="19" fillId="0" fontId="4" numFmtId="0" xfId="0" applyAlignment="1" applyBorder="1" applyFont="1">
      <alignment horizontal="left" shrinkToFit="0" vertical="center" wrapText="0"/>
    </xf>
    <xf borderId="13" fillId="0" fontId="4" numFmtId="0" xfId="0" applyAlignment="1" applyBorder="1" applyFont="1">
      <alignment horizontal="left" shrinkToFit="0" vertical="center" wrapText="0"/>
    </xf>
    <xf borderId="9" fillId="0" fontId="4" numFmtId="0" xfId="0" applyAlignment="1" applyBorder="1" applyFont="1">
      <alignment horizontal="left" shrinkToFit="0" vertical="center" wrapText="0"/>
    </xf>
    <xf borderId="9" fillId="0" fontId="2" numFmtId="0" xfId="0" applyAlignment="1" applyBorder="1" applyFont="1">
      <alignment horizontal="center" shrinkToFit="0" vertical="center" wrapText="0"/>
    </xf>
    <xf borderId="8" fillId="0" fontId="1" numFmtId="0" xfId="0" applyAlignment="1" applyBorder="1" applyFont="1">
      <alignment horizontal="left" shrinkToFit="0" vertical="center" wrapText="0"/>
    </xf>
    <xf borderId="6" fillId="0" fontId="2" numFmtId="0" xfId="0" applyAlignment="1" applyBorder="1" applyFont="1">
      <alignment shrinkToFit="0" vertical="center" wrapText="0"/>
    </xf>
    <xf borderId="6" fillId="0" fontId="4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shrinkToFit="0" vertical="bottom" wrapText="0"/>
    </xf>
    <xf borderId="6" fillId="0" fontId="2" numFmtId="0" xfId="0" applyAlignment="1" applyBorder="1" applyFont="1">
      <alignment horizontal="center" shrinkToFit="0" vertical="center" wrapText="0"/>
    </xf>
    <xf borderId="6" fillId="0" fontId="2" numFmtId="0" xfId="0" applyAlignment="1" applyBorder="1" applyFont="1">
      <alignment horizontal="center" readingOrder="0" shrinkToFit="0" vertical="center" wrapText="0"/>
    </xf>
    <xf borderId="6" fillId="0" fontId="4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horizontal="center" shrinkToFit="0" vertical="bottom" wrapText="0"/>
    </xf>
    <xf borderId="8" fillId="0" fontId="1" numFmtId="0" xfId="0" applyAlignment="1" applyBorder="1" applyFont="1">
      <alignment horizontal="center" shrinkToFit="0" vertical="bottom" wrapText="0"/>
    </xf>
    <xf borderId="7" fillId="0" fontId="12" numFmtId="0" xfId="0" applyAlignment="1" applyBorder="1" applyFont="1">
      <alignment shrinkToFit="0" vertical="center" wrapText="0"/>
    </xf>
    <xf borderId="7" fillId="0" fontId="12" numFmtId="0" xfId="0" applyAlignment="1" applyBorder="1" applyFont="1">
      <alignment horizontal="center" shrinkToFit="0" vertical="center" wrapText="0"/>
    </xf>
    <xf borderId="28" fillId="0" fontId="12" numFmtId="0" xfId="0" applyAlignment="1" applyBorder="1" applyFont="1">
      <alignment horizontal="center" shrinkToFit="0" vertical="center" wrapText="1"/>
    </xf>
    <xf borderId="29" fillId="0" fontId="12" numFmtId="0" xfId="0" applyAlignment="1" applyBorder="1" applyFont="1">
      <alignment horizontal="center" readingOrder="0" shrinkToFit="0" vertical="center" wrapText="1"/>
    </xf>
    <xf borderId="29" fillId="0" fontId="12" numFmtId="0" xfId="0" applyAlignment="1" applyBorder="1" applyFont="1">
      <alignment horizontal="center" shrinkToFit="0" vertical="center" wrapText="0"/>
    </xf>
    <xf borderId="28" fillId="0" fontId="12" numFmtId="2" xfId="0" applyAlignment="1" applyBorder="1" applyFont="1" applyNumberFormat="1">
      <alignment horizontal="center" shrinkToFit="0" vertical="center" wrapText="1"/>
    </xf>
    <xf borderId="28" fillId="0" fontId="12" numFmtId="164" xfId="0" applyAlignment="1" applyBorder="1" applyFont="1" applyNumberFormat="1">
      <alignment horizontal="center" readingOrder="0" shrinkToFit="0" vertical="center" wrapText="1"/>
    </xf>
    <xf borderId="3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8" fillId="0" fontId="1" numFmtId="0" xfId="0" applyAlignment="1" applyBorder="1" applyFont="1">
      <alignment horizontal="left" shrinkToFit="0" vertical="bottom" wrapText="0"/>
    </xf>
    <xf borderId="30" fillId="0" fontId="3" numFmtId="0" xfId="0" applyBorder="1" applyFont="1"/>
    <xf borderId="31" fillId="0" fontId="3" numFmtId="0" xfId="0" applyBorder="1" applyFont="1"/>
    <xf borderId="32" fillId="0" fontId="12" numFmtId="0" xfId="0" applyAlignment="1" applyBorder="1" applyFont="1">
      <alignment horizontal="center" shrinkToFit="0" vertical="center" wrapText="0"/>
    </xf>
    <xf borderId="32" fillId="0" fontId="12" numFmtId="2" xfId="0" applyAlignment="1" applyBorder="1" applyFont="1" applyNumberFormat="1">
      <alignment horizontal="center" shrinkToFit="0" vertical="center" wrapText="0"/>
    </xf>
    <xf borderId="32" fillId="0" fontId="12" numFmtId="164" xfId="0" applyAlignment="1" applyBorder="1" applyFont="1" applyNumberFormat="1">
      <alignment horizontal="center" shrinkToFit="0" vertical="center" wrapText="0"/>
    </xf>
    <xf borderId="28" fillId="0" fontId="12" numFmtId="0" xfId="0" applyAlignment="1" applyBorder="1" applyFont="1">
      <alignment horizontal="center" readingOrder="0" shrinkToFit="0" vertical="center" wrapText="1"/>
    </xf>
    <xf borderId="28" fillId="0" fontId="12" numFmtId="164" xfId="0" applyAlignment="1" applyBorder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0"/>
    </xf>
    <xf borderId="32" fillId="0" fontId="13" numFmtId="0" xfId="0" applyAlignment="1" applyBorder="1" applyFont="1">
      <alignment shrinkToFit="0" vertical="bottom" wrapText="0"/>
    </xf>
    <xf borderId="29" fillId="0" fontId="12" numFmtId="164" xfId="0" applyAlignment="1" applyBorder="1" applyFont="1" applyNumberFormat="1">
      <alignment horizontal="center" shrinkToFit="0" vertical="center" wrapText="1"/>
    </xf>
    <xf borderId="29" fillId="0" fontId="12" numFmtId="164" xfId="0" applyAlignment="1" applyBorder="1" applyFont="1" applyNumberFormat="1">
      <alignment horizontal="center" readingOrder="0" shrinkToFit="0" vertical="center" wrapText="1"/>
    </xf>
    <xf borderId="29" fillId="0" fontId="12" numFmtId="0" xfId="0" applyAlignment="1" applyBorder="1" applyFont="1">
      <alignment horizontal="center" shrinkToFit="0" vertical="center" wrapText="1"/>
    </xf>
    <xf borderId="0" fillId="0" fontId="12" numFmtId="0" xfId="0" applyAlignment="1" applyFont="1">
      <alignment horizontal="center" shrinkToFit="0" vertical="center" wrapText="1"/>
    </xf>
    <xf borderId="32" fillId="0" fontId="12" numFmtId="0" xfId="0" applyAlignment="1" applyBorder="1" applyFont="1">
      <alignment horizontal="center" shrinkToFit="0" vertical="center" wrapText="1"/>
    </xf>
    <xf borderId="32" fillId="0" fontId="12" numFmtId="0" xfId="0" applyAlignment="1" applyBorder="1" applyFont="1">
      <alignment horizontal="center" readingOrder="0" shrinkToFit="0" vertical="center" wrapText="1"/>
    </xf>
    <xf borderId="32" fillId="0" fontId="12" numFmtId="164" xfId="0" applyAlignment="1" applyBorder="1" applyFont="1" applyNumberFormat="1">
      <alignment horizontal="center" shrinkToFit="0" vertical="center" wrapText="1"/>
    </xf>
    <xf borderId="27" fillId="0" fontId="12" numFmtId="0" xfId="0" applyAlignment="1" applyBorder="1" applyFont="1">
      <alignment shrinkToFit="0" vertical="center" wrapText="0"/>
    </xf>
    <xf borderId="27" fillId="0" fontId="13" numFmtId="0" xfId="0" applyAlignment="1" applyBorder="1" applyFont="1">
      <alignment shrinkToFit="0" vertical="bottom" wrapText="0"/>
    </xf>
    <xf borderId="6" fillId="0" fontId="14" numFmtId="0" xfId="0" applyAlignment="1" applyBorder="1" applyFont="1">
      <alignment horizontal="left" shrinkToFit="0" vertical="center" wrapText="1"/>
    </xf>
    <xf borderId="6" fillId="0" fontId="4" numFmtId="0" xfId="0" applyAlignment="1" applyBorder="1" applyFont="1">
      <alignment horizontal="left" shrinkToFit="0" vertical="center" wrapText="1"/>
    </xf>
    <xf borderId="9" fillId="0" fontId="14" numFmtId="0" xfId="0" applyAlignment="1" applyBorder="1" applyFont="1">
      <alignment horizontal="center" shrinkToFit="0" vertical="center" wrapText="1"/>
    </xf>
    <xf borderId="6" fillId="0" fontId="4" numFmtId="2" xfId="0" applyAlignment="1" applyBorder="1" applyFont="1" applyNumberFormat="1">
      <alignment horizontal="left" shrinkToFit="0" vertical="center" wrapText="1"/>
    </xf>
    <xf borderId="13" fillId="0" fontId="3" numFmtId="0" xfId="0" applyBorder="1" applyFont="1"/>
    <xf borderId="6" fillId="0" fontId="8" numFmtId="164" xfId="0" applyAlignment="1" applyBorder="1" applyFont="1" applyNumberFormat="1">
      <alignment horizontal="left" shrinkToFit="0" vertical="center" wrapText="0"/>
    </xf>
    <xf borderId="1" fillId="0" fontId="14" numFmtId="0" xfId="0" applyAlignment="1" applyBorder="1" applyFont="1">
      <alignment horizontal="left" shrinkToFit="0" vertical="center" wrapText="1"/>
    </xf>
    <xf borderId="6" fillId="0" fontId="15" numFmtId="0" xfId="0" applyAlignment="1" applyBorder="1" applyFont="1">
      <alignment vertical="bottom"/>
    </xf>
    <xf borderId="6" fillId="0" fontId="1" numFmtId="0" xfId="0" applyAlignment="1" applyBorder="1" applyFont="1">
      <alignment vertical="bottom"/>
    </xf>
    <xf borderId="6" fillId="0" fontId="16" numFmtId="0" xfId="0" applyAlignment="1" applyBorder="1" applyFont="1">
      <alignment shrinkToFit="0" vertical="bottom" wrapText="0"/>
    </xf>
    <xf borderId="33" fillId="0" fontId="1" numFmtId="0" xfId="0" applyAlignment="1" applyBorder="1" applyFont="1">
      <alignment shrinkToFit="0" vertical="bottom" wrapText="0"/>
    </xf>
    <xf borderId="34" fillId="0" fontId="1" numFmtId="0" xfId="0" applyAlignment="1" applyBorder="1" applyFont="1">
      <alignment shrinkToFit="0" vertical="bottom" wrapText="0"/>
    </xf>
    <xf borderId="1" fillId="0" fontId="15" numFmtId="0" xfId="0" applyAlignment="1" applyBorder="1" applyFont="1">
      <alignment vertical="bottom"/>
    </xf>
    <xf borderId="6" fillId="0" fontId="17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8.43"/>
    <col customWidth="1" min="2" max="2" width="42.0"/>
    <col customWidth="1" min="3" max="3" width="28.71"/>
    <col customWidth="1" hidden="1" min="4" max="4" width="0.14"/>
    <col customWidth="1" min="5" max="5" width="58.29"/>
    <col customWidth="1" min="6" max="6" width="39.0"/>
    <col customWidth="1" min="7" max="7" width="40.0"/>
    <col customWidth="1" min="8" max="8" width="28.29"/>
    <col customWidth="1" min="9" max="9" width="35.71"/>
    <col customWidth="1" hidden="1" min="10" max="10" width="7.86"/>
    <col customWidth="1" hidden="1" min="11" max="11" width="11.14"/>
    <col customWidth="1" hidden="1" min="12" max="12" width="8.0"/>
    <col customWidth="1" min="13" max="26" width="10.14"/>
  </cols>
  <sheetData>
    <row r="1" ht="21.75" customHeight="1">
      <c r="A1" s="2" t="s">
        <v>0</v>
      </c>
      <c r="B1" s="3"/>
      <c r="C1" s="3"/>
      <c r="D1" s="3"/>
      <c r="E1" s="3"/>
      <c r="F1" s="3"/>
      <c r="G1" s="3"/>
      <c r="H1" s="3"/>
      <c r="I1" s="4"/>
      <c r="J1" s="5"/>
      <c r="K1" s="6"/>
      <c r="L1" s="5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37.5" customHeight="1">
      <c r="A2" s="7"/>
      <c r="B2" s="8"/>
      <c r="C2" s="8"/>
      <c r="D2" s="7"/>
      <c r="E2" s="7"/>
      <c r="F2" s="9" t="s">
        <v>1</v>
      </c>
      <c r="G2" s="9" t="s">
        <v>2</v>
      </c>
      <c r="H2" s="10" t="s">
        <v>3</v>
      </c>
      <c r="I2" s="10"/>
      <c r="J2" s="11"/>
      <c r="K2" s="12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ht="21.75" customHeight="1">
      <c r="A3" s="14"/>
      <c r="B3" s="8"/>
      <c r="C3" s="8"/>
      <c r="D3" s="15"/>
      <c r="E3" s="16"/>
      <c r="F3" s="17" t="s">
        <v>4</v>
      </c>
      <c r="G3" s="18"/>
      <c r="H3" s="18"/>
      <c r="I3" s="19"/>
      <c r="J3" s="1"/>
      <c r="K3" s="20"/>
      <c r="L3" s="21"/>
      <c r="M3" s="22"/>
      <c r="N3" s="23"/>
      <c r="O3" s="23"/>
      <c r="P3" s="23"/>
      <c r="Q3" s="23"/>
      <c r="R3" s="23"/>
      <c r="S3" s="23"/>
      <c r="T3" s="1"/>
      <c r="U3" s="1"/>
      <c r="V3" s="1"/>
      <c r="W3" s="1"/>
      <c r="X3" s="1"/>
      <c r="Y3" s="1"/>
      <c r="Z3" s="1"/>
    </row>
    <row r="4">
      <c r="A4" s="24" t="s">
        <v>5</v>
      </c>
      <c r="B4" s="25"/>
      <c r="C4" s="25"/>
      <c r="D4" s="26"/>
      <c r="E4" s="27"/>
      <c r="F4" s="28"/>
      <c r="G4" s="29"/>
      <c r="H4" s="29"/>
      <c r="I4" s="30"/>
      <c r="J4" s="1"/>
      <c r="K4" s="20"/>
      <c r="L4" s="1"/>
      <c r="M4" s="22"/>
      <c r="N4" s="23"/>
      <c r="T4" s="1"/>
      <c r="U4" s="1"/>
      <c r="V4" s="1"/>
      <c r="W4" s="1"/>
      <c r="X4" s="1"/>
      <c r="Y4" s="1"/>
      <c r="Z4" s="1"/>
    </row>
    <row r="5">
      <c r="A5" s="31" t="s">
        <v>6</v>
      </c>
      <c r="E5" s="32"/>
      <c r="F5" s="33" t="s">
        <v>7</v>
      </c>
      <c r="G5" s="18"/>
      <c r="H5" s="18"/>
      <c r="I5" s="19"/>
      <c r="J5" s="1"/>
      <c r="K5" s="34"/>
      <c r="L5" s="1"/>
      <c r="M5" s="22"/>
      <c r="N5" s="23"/>
      <c r="T5" s="1"/>
      <c r="U5" s="1"/>
      <c r="V5" s="1"/>
      <c r="W5" s="1"/>
      <c r="X5" s="1"/>
      <c r="Y5" s="1"/>
      <c r="Z5" s="1"/>
    </row>
    <row r="6">
      <c r="A6" s="35" t="s">
        <v>8</v>
      </c>
      <c r="B6" s="36"/>
      <c r="C6" s="36"/>
      <c r="D6" s="36"/>
      <c r="E6" s="37"/>
      <c r="F6" s="29"/>
      <c r="G6" s="29"/>
      <c r="H6" s="29"/>
      <c r="I6" s="30"/>
      <c r="J6" s="1"/>
      <c r="K6" s="20"/>
      <c r="L6" s="1"/>
      <c r="M6" s="2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35" t="s">
        <v>9</v>
      </c>
      <c r="B7" s="36"/>
      <c r="C7" s="36"/>
      <c r="D7" s="36"/>
      <c r="E7" s="37"/>
      <c r="F7" s="38" t="s">
        <v>10</v>
      </c>
      <c r="G7" s="3"/>
      <c r="H7" s="3"/>
      <c r="I7" s="4"/>
      <c r="J7" s="1"/>
      <c r="K7" s="20"/>
      <c r="L7" s="1"/>
      <c r="M7" s="39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40" t="s">
        <v>11</v>
      </c>
      <c r="B8" s="41"/>
      <c r="C8" s="41"/>
      <c r="D8" s="41"/>
      <c r="E8" s="42"/>
      <c r="F8" s="43" t="s">
        <v>12</v>
      </c>
      <c r="G8" s="18"/>
      <c r="H8" s="18"/>
      <c r="I8" s="19"/>
      <c r="J8" s="1"/>
      <c r="K8" s="20"/>
      <c r="L8" s="1"/>
      <c r="M8" s="44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40" t="s">
        <v>13</v>
      </c>
      <c r="B9" s="41"/>
      <c r="C9" s="41"/>
      <c r="D9" s="41"/>
      <c r="E9" s="42"/>
      <c r="I9" s="45"/>
      <c r="J9" s="1"/>
      <c r="K9" s="20"/>
      <c r="L9" s="20"/>
      <c r="M9" s="39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46" t="s">
        <v>14</v>
      </c>
      <c r="B10" s="47"/>
      <c r="C10" s="47"/>
      <c r="D10" s="47"/>
      <c r="E10" s="48"/>
      <c r="I10" s="45"/>
      <c r="J10" s="1"/>
      <c r="K10" s="20"/>
      <c r="L10" s="20"/>
      <c r="M10" s="39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49" t="s">
        <v>15</v>
      </c>
      <c r="C11" s="45"/>
      <c r="D11" s="26"/>
      <c r="E11" s="27"/>
      <c r="I11" s="45"/>
      <c r="J11" s="1"/>
      <c r="K11" s="20"/>
      <c r="L11" s="20"/>
      <c r="M11" s="39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50" t="s">
        <v>16</v>
      </c>
      <c r="B12" s="51"/>
      <c r="C12" s="51"/>
      <c r="D12" s="41"/>
      <c r="E12" s="42"/>
      <c r="I12" s="45"/>
      <c r="J12" s="1"/>
      <c r="K12" s="20"/>
      <c r="L12" s="20"/>
      <c r="M12" s="39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52" t="s">
        <v>17</v>
      </c>
      <c r="B13" s="51"/>
      <c r="C13" s="51"/>
      <c r="D13" s="41"/>
      <c r="E13" s="42"/>
      <c r="I13" s="45"/>
      <c r="J13" s="1"/>
      <c r="K13" s="20"/>
      <c r="L13" s="20"/>
      <c r="M13" s="39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7.5" customHeight="1">
      <c r="A14" s="53" t="s">
        <v>18</v>
      </c>
      <c r="B14" s="51"/>
      <c r="C14" s="51"/>
      <c r="D14" s="41"/>
      <c r="E14" s="42"/>
      <c r="F14" s="29"/>
      <c r="G14" s="29"/>
      <c r="H14" s="29"/>
      <c r="I14" s="30"/>
      <c r="J14" s="54"/>
      <c r="K14" s="55"/>
      <c r="L14" s="20"/>
      <c r="M14" s="39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37.5" customHeight="1">
      <c r="A15" s="52" t="s">
        <v>19</v>
      </c>
      <c r="B15" s="51"/>
      <c r="C15" s="51"/>
      <c r="D15" s="41"/>
      <c r="E15" s="42"/>
      <c r="F15" s="56"/>
      <c r="G15" s="56"/>
      <c r="H15" s="56"/>
      <c r="I15" s="56"/>
      <c r="J15" s="54"/>
      <c r="K15" s="55"/>
      <c r="L15" s="20"/>
      <c r="M15" s="39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51.0" customHeight="1">
      <c r="A16" s="50" t="s">
        <v>20</v>
      </c>
      <c r="D16" s="41"/>
      <c r="E16" s="42"/>
      <c r="F16" s="57"/>
      <c r="G16" s="7"/>
      <c r="H16" s="7"/>
      <c r="I16" s="7"/>
      <c r="J16" s="54"/>
      <c r="K16" s="55"/>
      <c r="L16" s="20"/>
      <c r="M16" s="39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8" t="s">
        <v>21</v>
      </c>
      <c r="B17" s="51"/>
      <c r="C17" s="51"/>
      <c r="D17" s="41"/>
      <c r="E17" s="42"/>
      <c r="F17" s="15"/>
      <c r="G17" s="8"/>
      <c r="H17" s="8"/>
      <c r="I17" s="8"/>
      <c r="J17" s="54"/>
      <c r="K17" s="55"/>
      <c r="L17" s="20"/>
      <c r="M17" s="39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1" t="s">
        <v>22</v>
      </c>
      <c r="B18" s="51"/>
      <c r="C18" s="51"/>
      <c r="D18" s="41"/>
      <c r="E18" s="42"/>
      <c r="F18" s="15"/>
      <c r="G18" s="8"/>
      <c r="H18" s="8"/>
      <c r="I18" s="8"/>
      <c r="J18" s="54"/>
      <c r="K18" s="55"/>
      <c r="L18" s="20"/>
      <c r="M18" s="39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1" t="s">
        <v>23</v>
      </c>
      <c r="B19" s="51"/>
      <c r="C19" s="51"/>
      <c r="D19" s="41"/>
      <c r="E19" s="42"/>
      <c r="F19" s="59" t="s">
        <v>24</v>
      </c>
      <c r="G19" s="60"/>
      <c r="H19" s="59" t="s">
        <v>25</v>
      </c>
      <c r="I19" s="60"/>
      <c r="J19" s="54"/>
      <c r="K19" s="55"/>
      <c r="L19" s="20"/>
      <c r="M19" s="39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1"/>
      <c r="B20" s="62"/>
      <c r="C20" s="62"/>
      <c r="D20" s="62"/>
      <c r="E20" s="63"/>
      <c r="F20" s="64"/>
      <c r="G20" s="32"/>
      <c r="H20" s="64"/>
      <c r="I20" s="32"/>
      <c r="J20" s="54"/>
      <c r="K20" s="55"/>
      <c r="L20" s="20"/>
      <c r="M20" s="39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31" t="s">
        <v>26</v>
      </c>
      <c r="E21" s="32"/>
      <c r="F21" s="65"/>
      <c r="G21" s="63"/>
      <c r="H21" s="65"/>
      <c r="I21" s="63"/>
      <c r="J21" s="54"/>
      <c r="K21" s="55"/>
      <c r="L21" s="20"/>
      <c r="M21" s="39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6" t="s">
        <v>27</v>
      </c>
      <c r="B22" s="67"/>
      <c r="C22" s="67"/>
      <c r="D22" s="67"/>
      <c r="E22" s="68"/>
      <c r="F22" s="69"/>
      <c r="G22" s="70"/>
      <c r="H22" s="70"/>
      <c r="I22" s="70"/>
      <c r="J22" s="54"/>
      <c r="K22" s="55"/>
      <c r="L22" s="1"/>
      <c r="M22" s="44"/>
      <c r="N22" s="1"/>
      <c r="O22" s="71"/>
      <c r="P22" s="7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72" t="s">
        <v>28</v>
      </c>
      <c r="B23" s="67"/>
      <c r="C23" s="67"/>
      <c r="D23" s="67"/>
      <c r="E23" s="68"/>
      <c r="F23" s="73"/>
      <c r="G23" s="7"/>
      <c r="H23" s="7"/>
      <c r="I23" s="7"/>
      <c r="J23" s="54"/>
      <c r="K23" s="55"/>
      <c r="L23" s="1"/>
      <c r="M23" s="4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72" t="s">
        <v>29</v>
      </c>
      <c r="B24" s="67"/>
      <c r="C24" s="67"/>
      <c r="D24" s="67"/>
      <c r="E24" s="68"/>
      <c r="F24" s="73"/>
      <c r="G24" s="7"/>
      <c r="H24" s="7"/>
      <c r="I24" s="7"/>
      <c r="J24" s="54"/>
      <c r="K24" s="55"/>
      <c r="L24" s="1"/>
      <c r="M24" s="4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72" t="s">
        <v>30</v>
      </c>
      <c r="B25" s="67"/>
      <c r="C25" s="67"/>
      <c r="D25" s="67"/>
      <c r="E25" s="68"/>
      <c r="F25" s="73"/>
      <c r="G25" s="7"/>
      <c r="H25" s="7"/>
      <c r="I25" s="7"/>
      <c r="J25" s="74"/>
      <c r="K25" s="75"/>
      <c r="L25" s="1"/>
      <c r="M25" s="2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8.75" customHeight="1">
      <c r="A26" s="76" t="s">
        <v>31</v>
      </c>
      <c r="E26" s="32"/>
      <c r="F26" s="57"/>
      <c r="G26" s="7"/>
      <c r="H26" s="7"/>
      <c r="I26" s="7"/>
      <c r="K26" s="75"/>
      <c r="L26" s="20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8.75" customHeight="1">
      <c r="A27" s="65"/>
      <c r="B27" s="62"/>
      <c r="C27" s="62"/>
      <c r="D27" s="62"/>
      <c r="E27" s="63"/>
      <c r="F27" s="57"/>
      <c r="G27" s="7"/>
      <c r="H27" s="7"/>
      <c r="I27" s="7"/>
      <c r="K27" s="75"/>
      <c r="L27" s="20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8.75" customHeight="1">
      <c r="A28" s="77" t="s">
        <v>32</v>
      </c>
      <c r="C28" s="45"/>
      <c r="D28" s="77" t="s">
        <v>33</v>
      </c>
      <c r="E28" s="45"/>
      <c r="F28" s="7"/>
      <c r="G28" s="7"/>
      <c r="H28" s="7"/>
      <c r="I28" s="7"/>
      <c r="K28" s="75"/>
      <c r="L28" s="20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8.75" customHeight="1">
      <c r="A29" s="28"/>
      <c r="B29" s="29"/>
      <c r="C29" s="30"/>
      <c r="D29" s="28"/>
      <c r="E29" s="30"/>
      <c r="F29" s="7"/>
      <c r="G29" s="7"/>
      <c r="H29" s="7"/>
      <c r="I29" s="7"/>
      <c r="K29" s="75"/>
      <c r="L29" s="20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8.75" customHeight="1">
      <c r="A30" s="78" t="s">
        <v>34</v>
      </c>
      <c r="B30" s="18"/>
      <c r="C30" s="19"/>
      <c r="D30" s="78" t="s">
        <v>35</v>
      </c>
      <c r="E30" s="19"/>
      <c r="F30" s="7"/>
      <c r="G30" s="7"/>
      <c r="H30" s="7"/>
      <c r="I30" s="7"/>
      <c r="K30" s="75"/>
      <c r="L30" s="20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8.75" customHeight="1">
      <c r="A31" s="28"/>
      <c r="B31" s="29"/>
      <c r="C31" s="30"/>
      <c r="D31" s="28"/>
      <c r="E31" s="30"/>
      <c r="F31" s="7"/>
      <c r="G31" s="7"/>
      <c r="H31" s="7"/>
      <c r="I31" s="7"/>
      <c r="K31" s="75"/>
      <c r="L31" s="20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8.75" customHeight="1">
      <c r="A32" s="79" t="s">
        <v>36</v>
      </c>
      <c r="B32" s="18"/>
      <c r="C32" s="18"/>
      <c r="D32" s="18"/>
      <c r="E32" s="18"/>
      <c r="F32" s="18"/>
      <c r="G32" s="18"/>
      <c r="H32" s="18"/>
      <c r="I32" s="19"/>
      <c r="J32" s="74"/>
      <c r="K32" s="80"/>
      <c r="L32" s="20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8.75" customHeight="1">
      <c r="A33" s="28"/>
      <c r="B33" s="29"/>
      <c r="C33" s="29"/>
      <c r="D33" s="29"/>
      <c r="E33" s="29"/>
      <c r="F33" s="29"/>
      <c r="G33" s="29"/>
      <c r="H33" s="29"/>
      <c r="I33" s="30"/>
      <c r="J33" s="1"/>
      <c r="K33" s="20"/>
      <c r="L33" s="20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81"/>
      <c r="B34" s="82"/>
      <c r="C34" s="82"/>
      <c r="D34" s="82"/>
      <c r="E34" s="82"/>
      <c r="F34" s="81"/>
      <c r="G34" s="82"/>
      <c r="H34" s="82"/>
      <c r="I34" s="83"/>
      <c r="J34" s="1"/>
      <c r="K34" s="20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84" t="s">
        <v>37</v>
      </c>
      <c r="B35" s="85" t="s">
        <v>38</v>
      </c>
      <c r="C35" s="84" t="s">
        <v>39</v>
      </c>
      <c r="D35" s="86"/>
      <c r="E35" s="84" t="s">
        <v>40</v>
      </c>
      <c r="F35" s="84" t="s">
        <v>41</v>
      </c>
      <c r="G35" s="84" t="s">
        <v>42</v>
      </c>
      <c r="H35" s="83"/>
      <c r="I35" s="83"/>
      <c r="J35" s="87"/>
      <c r="K35" s="88"/>
      <c r="L35" s="87"/>
      <c r="M35" s="87"/>
      <c r="N35" s="87"/>
      <c r="O35" s="87"/>
      <c r="P35" s="87"/>
      <c r="Q35" s="87"/>
      <c r="R35" s="87"/>
      <c r="S35" s="87"/>
      <c r="T35" s="87"/>
      <c r="U35" s="87"/>
      <c r="V35" s="87"/>
      <c r="W35" s="87"/>
      <c r="X35" s="87"/>
      <c r="Y35" s="87"/>
      <c r="Z35" s="87"/>
    </row>
    <row r="36">
      <c r="A36" s="89"/>
      <c r="B36" s="89"/>
      <c r="C36" s="90"/>
      <c r="D36" s="89"/>
      <c r="E36" s="89"/>
      <c r="F36" s="90"/>
      <c r="G36" s="90"/>
      <c r="H36" s="83"/>
      <c r="I36" s="83"/>
      <c r="J36" s="1"/>
      <c r="K36" s="20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91">
        <v>1.0</v>
      </c>
      <c r="B37" s="92">
        <v>96.0</v>
      </c>
      <c r="C37" s="92" t="s">
        <v>43</v>
      </c>
      <c r="D37" s="93"/>
      <c r="E37" s="94">
        <f>F37-2.5</f>
        <v>16.94</v>
      </c>
      <c r="F37" s="95">
        <v>19.44</v>
      </c>
      <c r="G37" s="95" t="s">
        <v>44</v>
      </c>
      <c r="H37" s="96"/>
      <c r="I37" s="83"/>
      <c r="J37" s="97"/>
      <c r="K37" s="98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99"/>
      <c r="B38" s="92">
        <v>150.0</v>
      </c>
      <c r="C38" s="92" t="s">
        <v>45</v>
      </c>
      <c r="D38" s="93"/>
      <c r="E38" s="99"/>
      <c r="F38" s="99"/>
      <c r="G38" s="99"/>
      <c r="H38" s="96"/>
      <c r="I38" s="83"/>
      <c r="J38" s="97"/>
      <c r="K38" s="98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00"/>
      <c r="B39" s="92">
        <v>150.0</v>
      </c>
      <c r="C39" s="92" t="s">
        <v>46</v>
      </c>
      <c r="D39" s="93"/>
      <c r="E39" s="100"/>
      <c r="F39" s="100"/>
      <c r="G39" s="100"/>
      <c r="H39" s="96"/>
      <c r="I39" s="83"/>
      <c r="J39" s="97"/>
      <c r="K39" s="98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01"/>
      <c r="B40" s="101"/>
      <c r="C40" s="101"/>
      <c r="D40" s="101"/>
      <c r="E40" s="102"/>
      <c r="F40" s="103"/>
      <c r="G40" s="103"/>
      <c r="H40" s="83"/>
      <c r="I40" s="83"/>
      <c r="J40" s="97"/>
      <c r="K40" s="98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04">
        <v>2.0</v>
      </c>
      <c r="B41" s="92">
        <v>120.0</v>
      </c>
      <c r="C41" s="92" t="s">
        <v>47</v>
      </c>
      <c r="D41" s="93"/>
      <c r="E41" s="105">
        <f>F41-2.5</f>
        <v>16.4</v>
      </c>
      <c r="F41" s="95">
        <v>18.9</v>
      </c>
      <c r="G41" s="95" t="s">
        <v>44</v>
      </c>
      <c r="H41" s="96"/>
      <c r="I41" s="83"/>
      <c r="J41" s="97"/>
      <c r="K41" s="98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99"/>
      <c r="B42" s="104">
        <v>96.0</v>
      </c>
      <c r="C42" s="104" t="s">
        <v>48</v>
      </c>
      <c r="D42" s="93"/>
      <c r="E42" s="99"/>
      <c r="F42" s="99"/>
      <c r="G42" s="99"/>
      <c r="H42" s="96"/>
      <c r="I42" s="83"/>
      <c r="J42" s="97"/>
      <c r="K42" s="98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00"/>
      <c r="B43" s="92">
        <v>120.0</v>
      </c>
      <c r="C43" s="92" t="s">
        <v>49</v>
      </c>
      <c r="D43" s="106"/>
      <c r="E43" s="100"/>
      <c r="F43" s="100"/>
      <c r="G43" s="100"/>
      <c r="H43" s="96"/>
      <c r="I43" s="83"/>
      <c r="J43" s="97"/>
      <c r="K43" s="98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07"/>
      <c r="B44" s="101"/>
      <c r="C44" s="101"/>
      <c r="D44" s="101"/>
      <c r="E44" s="107"/>
      <c r="F44" s="107"/>
      <c r="G44" s="107"/>
      <c r="H44" s="83"/>
      <c r="I44" s="83"/>
      <c r="J44" s="97"/>
      <c r="K44" s="98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92">
        <v>3.0</v>
      </c>
      <c r="B45" s="92">
        <v>66.0</v>
      </c>
      <c r="C45" s="92" t="s">
        <v>50</v>
      </c>
      <c r="D45" s="93"/>
      <c r="E45" s="108">
        <f>F45-2.5</f>
        <v>12.99</v>
      </c>
      <c r="F45" s="109">
        <v>15.49</v>
      </c>
      <c r="G45" s="92" t="s">
        <v>51</v>
      </c>
      <c r="H45" s="96"/>
      <c r="I45" s="83"/>
      <c r="J45" s="97"/>
      <c r="K45" s="98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07"/>
      <c r="B46" s="101"/>
      <c r="C46" s="101"/>
      <c r="D46" s="101"/>
      <c r="E46" s="107"/>
      <c r="F46" s="107"/>
      <c r="G46" s="107"/>
      <c r="H46" s="83"/>
      <c r="I46" s="83"/>
      <c r="J46" s="97"/>
      <c r="K46" s="98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04">
        <v>4.0</v>
      </c>
      <c r="B47" s="92">
        <v>14.0</v>
      </c>
      <c r="C47" s="92" t="s">
        <v>50</v>
      </c>
      <c r="D47" s="110"/>
      <c r="E47" s="105">
        <f>F47-2.5</f>
        <v>12.48</v>
      </c>
      <c r="F47" s="95">
        <v>14.98</v>
      </c>
      <c r="G47" s="104" t="s">
        <v>51</v>
      </c>
      <c r="H47" s="96"/>
      <c r="I47" s="83"/>
      <c r="J47" s="1"/>
      <c r="K47" s="20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99"/>
      <c r="B48" s="92">
        <v>180.0</v>
      </c>
      <c r="C48" s="92" t="s">
        <v>52</v>
      </c>
      <c r="D48" s="110"/>
      <c r="E48" s="99"/>
      <c r="F48" s="99"/>
      <c r="G48" s="99"/>
      <c r="H48" s="96"/>
      <c r="I48" s="83"/>
      <c r="J48" s="1"/>
      <c r="K48" s="20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99"/>
      <c r="B49" s="92">
        <v>44.0</v>
      </c>
      <c r="C49" s="92" t="s">
        <v>53</v>
      </c>
      <c r="D49" s="110"/>
      <c r="E49" s="99"/>
      <c r="F49" s="99"/>
      <c r="G49" s="99"/>
      <c r="H49" s="96"/>
      <c r="I49" s="83"/>
      <c r="J49" s="1"/>
      <c r="K49" s="20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00"/>
      <c r="B50" s="92">
        <v>8.0</v>
      </c>
      <c r="C50" s="92" t="s">
        <v>54</v>
      </c>
      <c r="D50" s="111"/>
      <c r="E50" s="100"/>
      <c r="F50" s="100"/>
      <c r="G50" s="100"/>
      <c r="H50" s="96"/>
      <c r="I50" s="83"/>
      <c r="J50" s="1"/>
      <c r="K50" s="20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07"/>
      <c r="B51" s="112"/>
      <c r="C51" s="113"/>
      <c r="D51" s="112"/>
      <c r="E51" s="107"/>
      <c r="F51" s="107"/>
      <c r="G51" s="107"/>
      <c r="H51" s="83"/>
      <c r="I51" s="83"/>
      <c r="J51" s="1"/>
      <c r="K51" s="20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04">
        <v>5.0</v>
      </c>
      <c r="B52" s="92">
        <v>120.0</v>
      </c>
      <c r="C52" s="92" t="s">
        <v>55</v>
      </c>
      <c r="D52" s="110"/>
      <c r="E52" s="105">
        <f>F52-2.5</f>
        <v>11.1</v>
      </c>
      <c r="F52" s="95">
        <v>13.6</v>
      </c>
      <c r="G52" s="104" t="s">
        <v>51</v>
      </c>
      <c r="H52" s="96"/>
      <c r="I52" s="83"/>
      <c r="J52" s="1"/>
      <c r="K52" s="20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99"/>
      <c r="B53" s="92">
        <v>40.0</v>
      </c>
      <c r="C53" s="92" t="s">
        <v>54</v>
      </c>
      <c r="D53" s="110"/>
      <c r="E53" s="99"/>
      <c r="F53" s="99"/>
      <c r="G53" s="99"/>
      <c r="H53" s="96"/>
      <c r="I53" s="83"/>
      <c r="J53" s="1"/>
      <c r="K53" s="20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00"/>
      <c r="B54" s="110"/>
      <c r="C54" s="110"/>
      <c r="D54" s="110"/>
      <c r="E54" s="100"/>
      <c r="F54" s="100"/>
      <c r="G54" s="100"/>
      <c r="H54" s="96"/>
      <c r="I54" s="83"/>
      <c r="J54" s="1"/>
      <c r="K54" s="20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12"/>
      <c r="B55" s="112"/>
      <c r="C55" s="112"/>
      <c r="D55" s="112"/>
      <c r="E55" s="112"/>
      <c r="F55" s="101"/>
      <c r="G55" s="101"/>
      <c r="H55" s="83"/>
      <c r="I55" s="83"/>
      <c r="J55" s="1"/>
      <c r="K55" s="20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04">
        <v>6.0</v>
      </c>
      <c r="B56" s="92">
        <v>36.0</v>
      </c>
      <c r="C56" s="92" t="s">
        <v>56</v>
      </c>
      <c r="D56" s="110"/>
      <c r="E56" s="105">
        <f>F56-2.5</f>
        <v>14</v>
      </c>
      <c r="F56" s="95">
        <v>16.5</v>
      </c>
      <c r="G56" s="95" t="s">
        <v>51</v>
      </c>
      <c r="H56" s="96"/>
      <c r="I56" s="83"/>
      <c r="J56" s="1"/>
      <c r="K56" s="20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99"/>
      <c r="B57" s="92">
        <v>150.0</v>
      </c>
      <c r="C57" s="92" t="s">
        <v>57</v>
      </c>
      <c r="D57" s="110"/>
      <c r="E57" s="99"/>
      <c r="F57" s="99"/>
      <c r="G57" s="99"/>
      <c r="H57" s="96"/>
      <c r="I57" s="83"/>
      <c r="J57" s="1"/>
      <c r="K57" s="20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00"/>
      <c r="B58" s="92">
        <v>80.0</v>
      </c>
      <c r="C58" s="92" t="s">
        <v>58</v>
      </c>
      <c r="D58" s="110"/>
      <c r="E58" s="100"/>
      <c r="F58" s="100"/>
      <c r="G58" s="100"/>
      <c r="H58" s="96"/>
      <c r="I58" s="83"/>
      <c r="J58" s="1"/>
      <c r="K58" s="20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12"/>
      <c r="B59" s="112"/>
      <c r="C59" s="112"/>
      <c r="D59" s="112"/>
      <c r="E59" s="112"/>
      <c r="F59" s="101"/>
      <c r="G59" s="101"/>
      <c r="H59" s="83"/>
      <c r="I59" s="83"/>
      <c r="J59" s="1"/>
      <c r="K59" s="20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04">
        <v>7.0</v>
      </c>
      <c r="B60" s="92">
        <v>50.0</v>
      </c>
      <c r="C60" s="92" t="s">
        <v>59</v>
      </c>
      <c r="D60" s="110"/>
      <c r="E60" s="105">
        <f>F60-2.5</f>
        <v>13.3</v>
      </c>
      <c r="F60" s="95">
        <v>15.8</v>
      </c>
      <c r="G60" s="95" t="s">
        <v>51</v>
      </c>
      <c r="H60" s="96"/>
      <c r="I60" s="83"/>
      <c r="J60" s="1"/>
      <c r="K60" s="20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99"/>
      <c r="B61" s="113">
        <v>48.0</v>
      </c>
      <c r="C61" s="113" t="s">
        <v>60</v>
      </c>
      <c r="D61" s="112"/>
      <c r="E61" s="99"/>
      <c r="F61" s="99"/>
      <c r="G61" s="99"/>
      <c r="H61" s="83"/>
      <c r="I61" s="83"/>
      <c r="J61" s="1"/>
      <c r="K61" s="20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00"/>
      <c r="B62" s="92">
        <v>8.0</v>
      </c>
      <c r="C62" s="92" t="s">
        <v>58</v>
      </c>
      <c r="D62" s="110"/>
      <c r="E62" s="100"/>
      <c r="F62" s="100"/>
      <c r="G62" s="100"/>
      <c r="H62" s="96"/>
      <c r="I62" s="83"/>
      <c r="J62" s="1"/>
      <c r="K62" s="20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12"/>
      <c r="B63" s="112"/>
      <c r="C63" s="112"/>
      <c r="D63" s="112"/>
      <c r="E63" s="114"/>
      <c r="F63" s="103"/>
      <c r="G63" s="103"/>
      <c r="H63" s="83"/>
      <c r="I63" s="83"/>
      <c r="J63" s="1"/>
      <c r="K63" s="20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04">
        <v>8.0</v>
      </c>
      <c r="B64" s="92">
        <v>96.0</v>
      </c>
      <c r="C64" s="92" t="s">
        <v>61</v>
      </c>
      <c r="D64" s="110"/>
      <c r="E64" s="105">
        <f>F64-2.5</f>
        <v>13.16</v>
      </c>
      <c r="F64" s="95">
        <v>15.66</v>
      </c>
      <c r="G64" s="104" t="s">
        <v>51</v>
      </c>
      <c r="H64" s="96"/>
      <c r="I64" s="83"/>
      <c r="J64" s="1"/>
      <c r="K64" s="20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99"/>
      <c r="B65" s="92">
        <v>480.0</v>
      </c>
      <c r="C65" s="92" t="s">
        <v>62</v>
      </c>
      <c r="D65" s="110"/>
      <c r="E65" s="99"/>
      <c r="F65" s="99"/>
      <c r="G65" s="99"/>
      <c r="H65" s="96"/>
      <c r="I65" s="83"/>
      <c r="J65" s="1"/>
      <c r="K65" s="20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00"/>
      <c r="B66" s="92">
        <v>32.0</v>
      </c>
      <c r="C66" s="92" t="s">
        <v>58</v>
      </c>
      <c r="D66" s="110"/>
      <c r="E66" s="100"/>
      <c r="F66" s="100"/>
      <c r="G66" s="100"/>
      <c r="H66" s="96"/>
      <c r="I66" s="83"/>
      <c r="J66" s="1"/>
      <c r="K66" s="20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07"/>
      <c r="B67" s="112"/>
      <c r="C67" s="112"/>
      <c r="D67" s="112"/>
      <c r="E67" s="107"/>
      <c r="F67" s="107"/>
      <c r="G67" s="107"/>
      <c r="H67" s="83"/>
      <c r="I67" s="83"/>
      <c r="J67" s="1"/>
      <c r="K67" s="20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15"/>
      <c r="B68" s="115"/>
      <c r="C68" s="116"/>
      <c r="D68" s="116"/>
      <c r="E68" s="116"/>
      <c r="F68" s="116"/>
      <c r="G68" s="116"/>
      <c r="H68" s="83"/>
      <c r="I68" s="83"/>
      <c r="J68" s="1"/>
      <c r="K68" s="20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17" t="s">
        <v>63</v>
      </c>
      <c r="B69" s="118">
        <f>sum(B37:B67)</f>
        <v>2184</v>
      </c>
      <c r="C69" s="119"/>
      <c r="D69" s="18"/>
      <c r="E69" s="18"/>
      <c r="F69" s="18"/>
      <c r="G69" s="19"/>
      <c r="H69" s="83"/>
      <c r="I69" s="83"/>
      <c r="J69" s="1"/>
      <c r="K69" s="20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17" t="s">
        <v>64</v>
      </c>
      <c r="B70" s="120">
        <f>SUM(E37:E67)</f>
        <v>110.37</v>
      </c>
      <c r="C70" s="121"/>
      <c r="G70" s="45"/>
      <c r="H70" s="83"/>
      <c r="I70" s="83"/>
      <c r="J70" s="1"/>
      <c r="K70" s="20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17" t="s">
        <v>65</v>
      </c>
      <c r="B71" s="122">
        <f>SUM(F37:F67)</f>
        <v>130.37</v>
      </c>
      <c r="C71" s="28"/>
      <c r="D71" s="29"/>
      <c r="E71" s="29"/>
      <c r="F71" s="29"/>
      <c r="G71" s="30"/>
      <c r="H71" s="83"/>
      <c r="I71" s="83"/>
      <c r="J71" s="1"/>
      <c r="K71" s="20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17.0" customHeight="1">
      <c r="A72" s="123"/>
      <c r="B72" s="3"/>
      <c r="C72" s="3"/>
      <c r="D72" s="3"/>
      <c r="E72" s="3"/>
      <c r="F72" s="3"/>
      <c r="G72" s="3"/>
      <c r="H72" s="3"/>
      <c r="I72" s="4"/>
      <c r="J72" s="1"/>
      <c r="K72" s="20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17" t="s">
        <v>66</v>
      </c>
      <c r="B73" s="82"/>
      <c r="C73" s="83"/>
      <c r="D73" s="83"/>
      <c r="E73" s="83"/>
      <c r="F73" s="83"/>
      <c r="G73" s="83"/>
      <c r="H73" s="83"/>
      <c r="I73" s="83"/>
      <c r="J73" s="1"/>
      <c r="K73" s="20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36.0" customHeight="1">
      <c r="A74" s="117"/>
      <c r="B74" s="82"/>
      <c r="C74" s="83"/>
      <c r="D74" s="83"/>
      <c r="E74" s="83"/>
      <c r="F74" s="83"/>
      <c r="G74" s="83"/>
      <c r="H74" s="83"/>
      <c r="I74" s="83"/>
      <c r="J74" s="1"/>
      <c r="K74" s="20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24" t="s">
        <v>67</v>
      </c>
      <c r="B75" s="125"/>
      <c r="C75" s="125"/>
      <c r="D75" s="126"/>
      <c r="E75" s="126"/>
      <c r="F75" s="126"/>
      <c r="G75" s="126"/>
      <c r="H75" s="126"/>
      <c r="I75" s="126"/>
      <c r="J75" s="127"/>
      <c r="K75" s="128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24" t="s">
        <v>68</v>
      </c>
      <c r="B76" s="125"/>
      <c r="C76" s="125"/>
      <c r="D76" s="83"/>
      <c r="E76" s="83"/>
      <c r="F76" s="83"/>
      <c r="G76" s="83"/>
      <c r="H76" s="83"/>
      <c r="I76" s="83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29" t="s">
        <v>69</v>
      </c>
      <c r="B77" s="4"/>
      <c r="C77" s="130" t="s">
        <v>70</v>
      </c>
      <c r="D77" s="83"/>
      <c r="E77" s="83"/>
      <c r="F77" s="83"/>
      <c r="G77" s="83"/>
      <c r="H77" s="83"/>
      <c r="I77" s="83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20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20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mergeCells count="52">
    <mergeCell ref="E41:E43"/>
    <mergeCell ref="F41:F43"/>
    <mergeCell ref="E47:E50"/>
    <mergeCell ref="F47:F50"/>
    <mergeCell ref="G47:G50"/>
    <mergeCell ref="F52:F54"/>
    <mergeCell ref="G52:G54"/>
    <mergeCell ref="E52:E54"/>
    <mergeCell ref="E56:E58"/>
    <mergeCell ref="F56:F58"/>
    <mergeCell ref="G56:G58"/>
    <mergeCell ref="E60:E62"/>
    <mergeCell ref="F60:F62"/>
    <mergeCell ref="G60:G62"/>
    <mergeCell ref="C69:G71"/>
    <mergeCell ref="A1:I1"/>
    <mergeCell ref="F3:I4"/>
    <mergeCell ref="N4:S4"/>
    <mergeCell ref="F5:I6"/>
    <mergeCell ref="N5:S5"/>
    <mergeCell ref="F7:I7"/>
    <mergeCell ref="F8:I14"/>
    <mergeCell ref="A21:E21"/>
    <mergeCell ref="A26:E27"/>
    <mergeCell ref="A28:C29"/>
    <mergeCell ref="D28:E29"/>
    <mergeCell ref="A5:E5"/>
    <mergeCell ref="A11:C11"/>
    <mergeCell ref="A16:C16"/>
    <mergeCell ref="F19:G21"/>
    <mergeCell ref="H19:I21"/>
    <mergeCell ref="A20:E20"/>
    <mergeCell ref="J25:K31"/>
    <mergeCell ref="A32:I33"/>
    <mergeCell ref="A41:A43"/>
    <mergeCell ref="A47:A50"/>
    <mergeCell ref="A52:A54"/>
    <mergeCell ref="A56:A58"/>
    <mergeCell ref="A60:A62"/>
    <mergeCell ref="A64:A66"/>
    <mergeCell ref="A30:C31"/>
    <mergeCell ref="D30:E31"/>
    <mergeCell ref="A37:A39"/>
    <mergeCell ref="E37:E39"/>
    <mergeCell ref="F37:F39"/>
    <mergeCell ref="G37:G39"/>
    <mergeCell ref="G41:G43"/>
    <mergeCell ref="E64:E66"/>
    <mergeCell ref="F64:F66"/>
    <mergeCell ref="G64:G66"/>
    <mergeCell ref="A72:I72"/>
    <mergeCell ref="A77:B77"/>
  </mergeCell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14"/>
    <col customWidth="1" min="7" max="26" width="16.4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